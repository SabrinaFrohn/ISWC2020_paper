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brina\Documents\master_thesis\#study_23_06_20\003\"/>
    </mc:Choice>
  </mc:AlternateContent>
  <xr:revisionPtr revIDLastSave="0" documentId="8_{81BEDA82-9DBE-4777-86D9-B4AB86DEBE20}" xr6:coauthVersionLast="45" xr6:coauthVersionMax="45" xr10:uidLastSave="{00000000-0000-0000-0000-000000000000}"/>
  <bookViews>
    <workbookView xWindow="-108" yWindow="-108" windowWidth="23256" windowHeight="12576" activeTab="1" xr2:uid="{7D9B47C3-80F1-4309-B28A-1FDD15A030D7}"/>
  </bookViews>
  <sheets>
    <sheet name="general info" sheetId="1" r:id="rId1"/>
    <sheet name="recording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" i="2"/>
  <c r="C2" i="2"/>
  <c r="M12" i="2" l="1" a="1"/>
  <c r="M12" i="2" s="1"/>
  <c r="G21" i="2" s="1"/>
  <c r="M11" i="2" a="1"/>
  <c r="M11" i="2" s="1"/>
  <c r="G20" i="2" s="1"/>
  <c r="M10" i="2" a="1"/>
  <c r="M10" i="2" s="1"/>
  <c r="G19" i="2" s="1"/>
  <c r="M9" i="2" a="1"/>
  <c r="M9" i="2" s="1"/>
  <c r="G18" i="2" s="1"/>
  <c r="M8" i="2" a="1"/>
  <c r="M8" i="2" s="1"/>
  <c r="G17" i="2" s="1"/>
  <c r="M7" i="2" a="1"/>
  <c r="M7" i="2" s="1"/>
  <c r="G16" i="2" s="1"/>
  <c r="M6" i="2" a="1"/>
  <c r="M6" i="2" s="1"/>
  <c r="G15" i="2" s="1"/>
  <c r="M5" i="2" a="1"/>
  <c r="M5" i="2" s="1"/>
  <c r="G14" i="2" s="1"/>
  <c r="M4" i="2" a="1"/>
  <c r="M4" i="2" s="1"/>
  <c r="G13" i="2" s="1"/>
  <c r="G4" i="2" a="1"/>
  <c r="G4" i="2" s="1"/>
  <c r="M13" i="2" s="1"/>
  <c r="B39" i="1"/>
  <c r="G12" i="2" a="1"/>
  <c r="G12" i="2" s="1"/>
  <c r="M21" i="2" s="1"/>
  <c r="G11" i="2" a="1"/>
  <c r="G11" i="2" s="1"/>
  <c r="M20" i="2" s="1"/>
  <c r="G10" i="2" a="1"/>
  <c r="G10" i="2" s="1"/>
  <c r="M19" i="2" s="1"/>
  <c r="G9" i="2" a="1"/>
  <c r="G9" i="2" s="1"/>
  <c r="M18" i="2" s="1"/>
  <c r="G8" i="2" a="1"/>
  <c r="G8" i="2" s="1"/>
  <c r="M17" i="2" s="1"/>
  <c r="G7" i="2" a="1"/>
  <c r="G7" i="2" s="1"/>
  <c r="M16" i="2" s="1"/>
  <c r="G6" i="2" a="1"/>
  <c r="G6" i="2" s="1"/>
  <c r="M15" i="2" s="1"/>
  <c r="G5" i="2" a="1"/>
  <c r="G5" i="2" s="1"/>
  <c r="M14" i="2" s="1"/>
  <c r="B38" i="1"/>
  <c r="C16" i="2"/>
  <c r="I16" i="2"/>
  <c r="C17" i="2"/>
  <c r="I17" i="2"/>
  <c r="C18" i="2"/>
  <c r="I18" i="2"/>
  <c r="C19" i="2"/>
  <c r="I19" i="2"/>
  <c r="C20" i="2"/>
  <c r="I20" i="2"/>
  <c r="C21" i="2"/>
  <c r="I21" i="2"/>
  <c r="C39" i="1"/>
  <c r="D39" i="1"/>
  <c r="E39" i="1"/>
  <c r="F39" i="1"/>
  <c r="G39" i="1"/>
  <c r="H39" i="1"/>
  <c r="I39" i="1"/>
  <c r="J39" i="1"/>
  <c r="C38" i="1"/>
  <c r="D38" i="1"/>
  <c r="E38" i="1"/>
  <c r="F38" i="1"/>
  <c r="G38" i="1"/>
  <c r="H38" i="1"/>
  <c r="I38" i="1"/>
  <c r="J38" i="1"/>
  <c r="H18" i="2" l="1"/>
  <c r="H21" i="2"/>
  <c r="H17" i="2"/>
  <c r="N20" i="2"/>
  <c r="N19" i="2"/>
  <c r="H19" i="2"/>
  <c r="N17" i="2"/>
  <c r="N18" i="2"/>
  <c r="N21" i="2"/>
  <c r="N16" i="2"/>
  <c r="H20" i="2"/>
  <c r="H16" i="2"/>
  <c r="I15" i="2" l="1"/>
  <c r="N15" i="2" s="1"/>
  <c r="I14" i="2"/>
  <c r="N14" i="2" s="1"/>
  <c r="I13" i="2"/>
  <c r="N13" i="2" s="1"/>
  <c r="I12" i="2"/>
  <c r="N12" i="2" s="1"/>
  <c r="I11" i="2"/>
  <c r="N11" i="2" s="1"/>
  <c r="I10" i="2"/>
  <c r="N10" i="2" s="1"/>
  <c r="I9" i="2"/>
  <c r="N9" i="2" s="1"/>
  <c r="I8" i="2"/>
  <c r="N8" i="2" s="1"/>
  <c r="I7" i="2"/>
  <c r="N7" i="2" s="1"/>
  <c r="I6" i="2"/>
  <c r="N6" i="2" s="1"/>
  <c r="I5" i="2"/>
  <c r="N5" i="2" s="1"/>
  <c r="I4" i="2"/>
  <c r="N4" i="2" s="1"/>
  <c r="I3" i="2"/>
  <c r="N3" i="2" s="1"/>
  <c r="I2" i="2"/>
  <c r="N2" i="2" s="1"/>
  <c r="C15" i="2"/>
  <c r="H15" i="2" s="1"/>
  <c r="C14" i="2"/>
  <c r="H14" i="2" s="1"/>
  <c r="C13" i="2"/>
  <c r="H13" i="2" s="1"/>
  <c r="C12" i="2"/>
  <c r="H12" i="2" s="1"/>
  <c r="C11" i="2"/>
  <c r="H11" i="2" s="1"/>
  <c r="C10" i="2"/>
  <c r="H10" i="2" s="1"/>
  <c r="C9" i="2"/>
  <c r="H9" i="2" s="1"/>
  <c r="C8" i="2"/>
  <c r="H8" i="2" s="1"/>
  <c r="C7" i="2"/>
  <c r="H7" i="2" s="1"/>
  <c r="C6" i="2"/>
  <c r="H6" i="2" s="1"/>
  <c r="C5" i="2"/>
  <c r="H5" i="2" s="1"/>
  <c r="C4" i="2"/>
  <c r="H4" i="2" s="1"/>
  <c r="C3" i="2"/>
  <c r="H3" i="2" s="1"/>
  <c r="H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<sst xmlns="http://schemas.openxmlformats.org/spreadsheetml/2006/main" count="210" uniqueCount="75">
  <si>
    <t>Participant 2 ID</t>
  </si>
  <si>
    <t>Participant 1 ID:</t>
  </si>
  <si>
    <t>eSense Part 1 number:</t>
  </si>
  <si>
    <t>eSense Part 2 number:</t>
  </si>
  <si>
    <t xml:space="preserve">Experimenter: </t>
  </si>
  <si>
    <t xml:space="preserve">Date: </t>
  </si>
  <si>
    <t>Part. 1</t>
  </si>
  <si>
    <t>Part. 2</t>
  </si>
  <si>
    <t>verb</t>
  </si>
  <si>
    <t>Filename part. 1</t>
  </si>
  <si>
    <t>Filename part. 2</t>
  </si>
  <si>
    <t>Trial Number</t>
  </si>
  <si>
    <t xml:space="preserve">transitive verb pairs: </t>
  </si>
  <si>
    <t>banish</t>
  </si>
  <si>
    <t>attack</t>
  </si>
  <si>
    <t>block</t>
  </si>
  <si>
    <t xml:space="preserve">confront </t>
  </si>
  <si>
    <t>displease</t>
  </si>
  <si>
    <t>reject</t>
  </si>
  <si>
    <t>caress</t>
  </si>
  <si>
    <t>befriend</t>
  </si>
  <si>
    <t>cherish</t>
  </si>
  <si>
    <t>ease</t>
  </si>
  <si>
    <t>support</t>
  </si>
  <si>
    <t>welcome</t>
  </si>
  <si>
    <t>Text part</t>
  </si>
  <si>
    <t>notes</t>
  </si>
  <si>
    <t>accept</t>
  </si>
  <si>
    <t>comfort</t>
  </si>
  <si>
    <t>motivate</t>
  </si>
  <si>
    <t>reassure</t>
  </si>
  <si>
    <t>threaten</t>
  </si>
  <si>
    <t>shame</t>
  </si>
  <si>
    <t>frustrate</t>
  </si>
  <si>
    <t>anger</t>
  </si>
  <si>
    <t>random num</t>
  </si>
  <si>
    <t>match</t>
  </si>
  <si>
    <t>complement</t>
  </si>
  <si>
    <t>&lt;-&gt;</t>
  </si>
  <si>
    <t xml:space="preserve">Test_1 </t>
  </si>
  <si>
    <t>Test_2</t>
  </si>
  <si>
    <t>Trial_1</t>
  </si>
  <si>
    <t>Trial_2</t>
  </si>
  <si>
    <t>Trial_3</t>
  </si>
  <si>
    <t>Trial_4</t>
  </si>
  <si>
    <t>Trial_5</t>
  </si>
  <si>
    <t>Trial_6</t>
  </si>
  <si>
    <t>Trial_7</t>
  </si>
  <si>
    <t>Trial_8</t>
  </si>
  <si>
    <t>Trial_9</t>
  </si>
  <si>
    <t>Trial_10</t>
  </si>
  <si>
    <t>Trial_11</t>
  </si>
  <si>
    <t>Trial_12</t>
  </si>
  <si>
    <t>Trial_13</t>
  </si>
  <si>
    <t>Trial_14</t>
  </si>
  <si>
    <t>Trial_15</t>
  </si>
  <si>
    <t>Trial_16</t>
  </si>
  <si>
    <t>Trial_17</t>
  </si>
  <si>
    <t>Trial_18</t>
  </si>
  <si>
    <t>Trial run?  (0 = test, 1=trial)</t>
  </si>
  <si>
    <t>Successful? (0 = no, 1 = yes)</t>
  </si>
  <si>
    <t>M</t>
  </si>
  <si>
    <t>W</t>
  </si>
  <si>
    <t>Sabrina</t>
  </si>
  <si>
    <t>ELSC03</t>
  </si>
  <si>
    <t>e0237</t>
  </si>
  <si>
    <t>CHBE05</t>
  </si>
  <si>
    <t>e0308</t>
  </si>
  <si>
    <t>no trial</t>
  </si>
  <si>
    <t>lachen</t>
  </si>
  <si>
    <t>verb_image</t>
  </si>
  <si>
    <t>pos_neg</t>
  </si>
  <si>
    <t>confront</t>
  </si>
  <si>
    <t>p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</si>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</sst>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0" fontId="4" fillId="0" borderId="3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14" fontId="4" fillId="3" borderId="3" xfId="0" applyNumberFormat="1" applyFont="1" applyFill="1" applyBorder="1" applyAlignment="1">
      <alignment horizontal="left"/>
    </xf>
    <xf numFmtId="0" fontId="4" fillId="3" borderId="3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0" fillId="0" borderId="1" xfId="0" applyFill="1" applyBorder="1"/>
    <xf numFmtId="0" fontId="0" fillId="2" borderId="0" xfId="0" applyFill="1"/>
    <xf numFmtId="0" fontId="1" fillId="0" borderId="0" xfId="0" applyFont="1" applyFill="1"/>
    <xf numFmtId="0" fontId="0" fillId="0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4" xfId="0" applyFill="1" applyBorder="1"/>
    <xf numFmtId="0" fontId="0" fillId="4" borderId="4" xfId="0" applyFill="1" applyBorder="1"/>
    <xf numFmtId="0" fontId="0" fillId="4" borderId="0" xfId="0" applyFill="1"/>
    <xf numFmtId="0" fontId="0" fillId="4" borderId="1" xfId="0" applyFill="1" applyBorder="1"/>
    <xf numFmtId="0" fontId="0" fillId="0" borderId="2" xfId="0" applyFill="1" applyBorder="1"/>
  </cellXfs>
  <cellStyles count="1">
    <cellStyle name="Standard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353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12</xdr:row>
          <xdr:rowOff>22860</xdr:rowOff>
        </xdr:from>
        <xdr:to>
          <xdr:col>1</xdr:col>
          <xdr:colOff>1531620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0A00-3A76-4E1C-81DE-00668785C51E}">
  <sheetPr codeName="Tabelle1"/>
  <dimension ref="A3:J39"/>
  <sheetViews>
    <sheetView workbookViewId="0">
      <selection activeCell="C12" sqref="C12"/>
    </sheetView>
  </sheetViews>
  <sheetFormatPr baseColWidth="10" defaultRowHeight="14.4" x14ac:dyDescent="0.3"/>
  <cols>
    <col min="2" max="2" width="23.109375" customWidth="1"/>
    <col min="3" max="3" width="27.6640625" customWidth="1"/>
    <col min="5" max="5" width="20.6640625" customWidth="1"/>
  </cols>
  <sheetData>
    <row r="3" spans="2:3" x14ac:dyDescent="0.3">
      <c r="B3" s="1" t="s">
        <v>4</v>
      </c>
      <c r="C3" s="5" t="s">
        <v>63</v>
      </c>
    </row>
    <row r="4" spans="2:3" x14ac:dyDescent="0.3">
      <c r="B4" s="1" t="s">
        <v>5</v>
      </c>
      <c r="C4" s="6">
        <v>44005</v>
      </c>
    </row>
    <row r="5" spans="2:3" x14ac:dyDescent="0.3">
      <c r="B5" s="1"/>
      <c r="C5" s="4"/>
    </row>
    <row r="6" spans="2:3" x14ac:dyDescent="0.3">
      <c r="B6" s="1" t="s">
        <v>1</v>
      </c>
      <c r="C6" s="7" t="s">
        <v>64</v>
      </c>
    </row>
    <row r="7" spans="2:3" x14ac:dyDescent="0.3">
      <c r="B7" s="1" t="s">
        <v>2</v>
      </c>
      <c r="C7" s="7" t="s">
        <v>65</v>
      </c>
    </row>
    <row r="8" spans="2:3" x14ac:dyDescent="0.3">
      <c r="B8" s="1"/>
      <c r="C8" s="4"/>
    </row>
    <row r="9" spans="2:3" x14ac:dyDescent="0.3">
      <c r="B9" s="1"/>
      <c r="C9" s="4"/>
    </row>
    <row r="10" spans="2:3" x14ac:dyDescent="0.3">
      <c r="B10" s="1" t="s">
        <v>0</v>
      </c>
      <c r="C10" s="7" t="s">
        <v>66</v>
      </c>
    </row>
    <row r="11" spans="2:3" x14ac:dyDescent="0.3">
      <c r="B11" s="1" t="s">
        <v>3</v>
      </c>
      <c r="C11" s="8" t="s">
        <v>67</v>
      </c>
    </row>
    <row r="16" spans="2:3" hidden="1" x14ac:dyDescent="0.3">
      <c r="B16" t="s">
        <v>12</v>
      </c>
    </row>
    <row r="17" spans="1:4" hidden="1" x14ac:dyDescent="0.3"/>
    <row r="18" spans="1:4" hidden="1" x14ac:dyDescent="0.3">
      <c r="A18">
        <v>1</v>
      </c>
      <c r="B18" t="s">
        <v>20</v>
      </c>
      <c r="C18" t="s">
        <v>38</v>
      </c>
      <c r="D18" t="s">
        <v>14</v>
      </c>
    </row>
    <row r="19" spans="1:4" hidden="1" x14ac:dyDescent="0.3">
      <c r="A19">
        <v>2</v>
      </c>
      <c r="B19" t="s">
        <v>21</v>
      </c>
      <c r="C19" t="s">
        <v>38</v>
      </c>
      <c r="D19" t="s">
        <v>15</v>
      </c>
    </row>
    <row r="20" spans="1:4" hidden="1" x14ac:dyDescent="0.3">
      <c r="A20">
        <v>3</v>
      </c>
      <c r="B20" t="s">
        <v>22</v>
      </c>
      <c r="C20" t="s">
        <v>38</v>
      </c>
      <c r="D20" t="s">
        <v>16</v>
      </c>
    </row>
    <row r="21" spans="1:4" hidden="1" x14ac:dyDescent="0.3">
      <c r="A21">
        <v>4</v>
      </c>
      <c r="B21" t="s">
        <v>23</v>
      </c>
      <c r="C21" t="s">
        <v>38</v>
      </c>
      <c r="D21" t="s">
        <v>27</v>
      </c>
    </row>
    <row r="22" spans="1:4" hidden="1" x14ac:dyDescent="0.3">
      <c r="A22">
        <v>5</v>
      </c>
      <c r="B22" t="s">
        <v>24</v>
      </c>
      <c r="C22" t="s">
        <v>38</v>
      </c>
      <c r="D22" t="s">
        <v>28</v>
      </c>
    </row>
    <row r="23" spans="1:4" hidden="1" x14ac:dyDescent="0.3">
      <c r="A23">
        <v>6</v>
      </c>
      <c r="B23" t="s">
        <v>29</v>
      </c>
      <c r="C23" t="s">
        <v>38</v>
      </c>
      <c r="D23" t="s">
        <v>30</v>
      </c>
    </row>
    <row r="24" spans="1:4" hidden="1" x14ac:dyDescent="0.3">
      <c r="A24">
        <v>7</v>
      </c>
      <c r="B24" t="s">
        <v>17</v>
      </c>
      <c r="C24" t="s">
        <v>38</v>
      </c>
      <c r="D24" t="s">
        <v>31</v>
      </c>
    </row>
    <row r="25" spans="1:4" hidden="1" x14ac:dyDescent="0.3">
      <c r="A25">
        <v>8</v>
      </c>
      <c r="B25" t="s">
        <v>18</v>
      </c>
      <c r="C25" t="s">
        <v>38</v>
      </c>
      <c r="D25" t="s">
        <v>32</v>
      </c>
    </row>
    <row r="26" spans="1:4" hidden="1" x14ac:dyDescent="0.3">
      <c r="A26">
        <v>9</v>
      </c>
      <c r="B26" t="s">
        <v>33</v>
      </c>
      <c r="C26" t="s">
        <v>38</v>
      </c>
      <c r="D26" t="s">
        <v>34</v>
      </c>
    </row>
    <row r="27" spans="1:4" hidden="1" x14ac:dyDescent="0.3">
      <c r="A27">
        <v>10</v>
      </c>
      <c r="B27" t="s">
        <v>14</v>
      </c>
      <c r="C27" t="s">
        <v>38</v>
      </c>
      <c r="D27" t="s">
        <v>20</v>
      </c>
    </row>
    <row r="28" spans="1:4" hidden="1" x14ac:dyDescent="0.3">
      <c r="A28">
        <v>11</v>
      </c>
      <c r="B28" t="s">
        <v>15</v>
      </c>
      <c r="C28" t="s">
        <v>38</v>
      </c>
      <c r="D28" t="s">
        <v>21</v>
      </c>
    </row>
    <row r="29" spans="1:4" hidden="1" x14ac:dyDescent="0.3">
      <c r="A29">
        <v>12</v>
      </c>
      <c r="B29" t="s">
        <v>16</v>
      </c>
      <c r="C29" t="s">
        <v>38</v>
      </c>
      <c r="D29" t="s">
        <v>22</v>
      </c>
    </row>
    <row r="30" spans="1:4" hidden="1" x14ac:dyDescent="0.3">
      <c r="A30">
        <v>13</v>
      </c>
      <c r="B30" t="s">
        <v>27</v>
      </c>
      <c r="C30" t="s">
        <v>38</v>
      </c>
      <c r="D30" t="s">
        <v>23</v>
      </c>
    </row>
    <row r="31" spans="1:4" hidden="1" x14ac:dyDescent="0.3">
      <c r="A31">
        <v>14</v>
      </c>
      <c r="B31" t="s">
        <v>28</v>
      </c>
      <c r="C31" t="s">
        <v>38</v>
      </c>
      <c r="D31" t="s">
        <v>24</v>
      </c>
    </row>
    <row r="32" spans="1:4" hidden="1" x14ac:dyDescent="0.3">
      <c r="A32">
        <v>15</v>
      </c>
      <c r="B32" t="s">
        <v>30</v>
      </c>
      <c r="C32" t="s">
        <v>38</v>
      </c>
      <c r="D32" t="s">
        <v>29</v>
      </c>
    </row>
    <row r="33" spans="1:10" hidden="1" x14ac:dyDescent="0.3">
      <c r="A33">
        <v>16</v>
      </c>
      <c r="B33" t="s">
        <v>31</v>
      </c>
      <c r="C33" t="s">
        <v>38</v>
      </c>
      <c r="D33" t="s">
        <v>17</v>
      </c>
    </row>
    <row r="34" spans="1:10" hidden="1" x14ac:dyDescent="0.3">
      <c r="A34">
        <v>17</v>
      </c>
      <c r="B34" t="s">
        <v>32</v>
      </c>
      <c r="C34" t="s">
        <v>38</v>
      </c>
      <c r="D34" t="s">
        <v>18</v>
      </c>
    </row>
    <row r="35" spans="1:10" hidden="1" x14ac:dyDescent="0.3">
      <c r="A35">
        <v>18</v>
      </c>
      <c r="B35" t="s">
        <v>34</v>
      </c>
      <c r="C35" t="s">
        <v>38</v>
      </c>
      <c r="D35" t="s">
        <v>33</v>
      </c>
    </row>
    <row r="36" spans="1:10" hidden="1" x14ac:dyDescent="0.3"/>
    <row r="37" spans="1:10" hidden="1" x14ac:dyDescent="0.3">
      <c r="A37" t="s">
        <v>35</v>
      </c>
      <c r="B37">
        <v>11</v>
      </c>
      <c r="C37">
        <v>16</v>
      </c>
      <c r="D37">
        <v>9</v>
      </c>
      <c r="E37">
        <v>10</v>
      </c>
      <c r="F37">
        <v>17</v>
      </c>
      <c r="G37">
        <v>13</v>
      </c>
      <c r="H37">
        <v>5</v>
      </c>
      <c r="I37">
        <v>15</v>
      </c>
      <c r="J37">
        <v>12</v>
      </c>
    </row>
    <row r="38" spans="1:10" hidden="1" x14ac:dyDescent="0.3">
      <c r="A38" t="s">
        <v>36</v>
      </c>
      <c r="B38" t="str">
        <f>_xlfn.XLOOKUP(B$37,$A$18:$A$35,$B$18:$B$35)</f>
        <v>block</v>
      </c>
      <c r="C38" t="str">
        <f t="shared" ref="C38:J38" si="0">_xlfn.XLOOKUP(C$37,$A$18:$A$35,$B$18:$B$35)</f>
        <v>threaten</v>
      </c>
      <c r="D38" t="str">
        <f t="shared" si="0"/>
        <v>frustrate</v>
      </c>
      <c r="E38" t="str">
        <f t="shared" si="0"/>
        <v>attack</v>
      </c>
      <c r="F38" t="str">
        <f t="shared" si="0"/>
        <v>shame</v>
      </c>
      <c r="G38" t="str">
        <f t="shared" si="0"/>
        <v>accept</v>
      </c>
      <c r="H38" t="str">
        <f t="shared" si="0"/>
        <v>welcome</v>
      </c>
      <c r="I38" t="str">
        <f t="shared" si="0"/>
        <v>reassure</v>
      </c>
      <c r="J38" t="str">
        <f t="shared" si="0"/>
        <v xml:space="preserve">confront </v>
      </c>
    </row>
    <row r="39" spans="1:10" hidden="1" x14ac:dyDescent="0.3">
      <c r="A39" t="s">
        <v>37</v>
      </c>
      <c r="B39" t="str">
        <f>_xlfn.XLOOKUP(B$37,$A$18:$A$35,$D$18:$D$35)</f>
        <v>cherish</v>
      </c>
      <c r="C39" t="str">
        <f t="shared" ref="C39:J39" si="1">_xlfn.XLOOKUP(C$37,$A$18:$A$35,$D$18:$D$35)</f>
        <v>displease</v>
      </c>
      <c r="D39" t="str">
        <f t="shared" si="1"/>
        <v>anger</v>
      </c>
      <c r="E39" t="str">
        <f t="shared" si="1"/>
        <v>befriend</v>
      </c>
      <c r="F39" t="str">
        <f t="shared" si="1"/>
        <v>reject</v>
      </c>
      <c r="G39" t="str">
        <f t="shared" si="1"/>
        <v>support</v>
      </c>
      <c r="H39" t="str">
        <f t="shared" si="1"/>
        <v>comfort</v>
      </c>
      <c r="I39" t="str">
        <f t="shared" si="1"/>
        <v>motivate</v>
      </c>
      <c r="J39" t="str">
        <f t="shared" si="1"/>
        <v>ease</v>
      </c>
    </row>
  </sheetData>
  <conditionalFormatting sqref="C6:C7 C10:C11 C3:C4">
    <cfRule type="cellIs" dxfId="0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domButton">
                <anchor moveWithCells="1" sizeWithCells="1">
                  <from>
                    <xdr:col>1</xdr:col>
                    <xdr:colOff>60960</xdr:colOff>
                    <xdr:row>12</xdr:row>
                    <xdr:rowOff>22860</xdr:rowOff>
                  </from>
                  <to>
                    <xdr:col>1</xdr:col>
                    <xdr:colOff>1531620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8F1F2-C50A-477B-B55D-922AE8C4366F}">
  <sheetPr codeName="Tabelle2"/>
  <dimension ref="A1:AR21"/>
  <sheetViews>
    <sheetView tabSelected="1" topLeftCell="A2" workbookViewId="0">
      <selection activeCell="L22" sqref="L22"/>
    </sheetView>
  </sheetViews>
  <sheetFormatPr baseColWidth="10" defaultRowHeight="20.25" customHeight="1" x14ac:dyDescent="0.3"/>
  <cols>
    <col min="1" max="1" width="13" customWidth="1"/>
    <col min="2" max="2" width="15.44140625" hidden="1" customWidth="1"/>
    <col min="8" max="8" width="26.33203125" hidden="1" customWidth="1"/>
    <col min="14" max="14" width="23.44140625" hidden="1" customWidth="1"/>
    <col min="15" max="15" width="10.44140625" hidden="1" customWidth="1"/>
    <col min="16" max="16" width="59.88671875" customWidth="1"/>
    <col min="17" max="44" width="11.44140625" style="12"/>
  </cols>
  <sheetData>
    <row r="1" spans="1:44" s="1" customFormat="1" ht="29.25" customHeight="1" thickBot="1" x14ac:dyDescent="0.35">
      <c r="A1" s="23" t="s">
        <v>60</v>
      </c>
      <c r="B1" s="24" t="s">
        <v>11</v>
      </c>
      <c r="C1" s="24" t="s">
        <v>6</v>
      </c>
      <c r="D1" s="24" t="s">
        <v>25</v>
      </c>
      <c r="E1" s="24" t="s">
        <v>70</v>
      </c>
      <c r="F1" s="24" t="s">
        <v>71</v>
      </c>
      <c r="G1" s="24" t="s">
        <v>8</v>
      </c>
      <c r="H1" s="24" t="s">
        <v>9</v>
      </c>
      <c r="I1" s="24" t="s">
        <v>7</v>
      </c>
      <c r="J1" s="24" t="s">
        <v>25</v>
      </c>
      <c r="K1" s="24" t="s">
        <v>70</v>
      </c>
      <c r="L1" s="24" t="s">
        <v>71</v>
      </c>
      <c r="M1" s="24" t="s">
        <v>8</v>
      </c>
      <c r="N1" s="24" t="s">
        <v>10</v>
      </c>
      <c r="O1" s="24" t="s">
        <v>59</v>
      </c>
      <c r="P1" s="25" t="s">
        <v>26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</row>
    <row r="2" spans="1:44" s="28" customFormat="1" ht="20.25" customHeight="1" x14ac:dyDescent="0.3">
      <c r="A2" s="27">
        <v>0</v>
      </c>
      <c r="B2" s="27" t="s">
        <v>39</v>
      </c>
      <c r="C2" s="27" t="str">
        <f>'general info'!C6</f>
        <v>ELSC03</v>
      </c>
      <c r="D2" s="27" t="s">
        <v>61</v>
      </c>
      <c r="E2" s="27" t="s">
        <v>19</v>
      </c>
      <c r="F2" s="27" t="s">
        <v>73</v>
      </c>
      <c r="G2" s="27" t="s">
        <v>19</v>
      </c>
      <c r="H2" s="27" t="str">
        <f>CONCATENATE(C2, "_", B2, "_",D2, " ", G2, "_", 'general info'!$C$7, ".xls" )</f>
        <v>ELSC03_Test_1 _M caress_e0237.xls</v>
      </c>
      <c r="I2" s="27" t="str">
        <f>'general info'!C10</f>
        <v>CHBE05</v>
      </c>
      <c r="J2" s="27" t="str">
        <f>IF(D2="M","W",IF(D2="W","M",""))</f>
        <v>W</v>
      </c>
      <c r="K2" s="27" t="s">
        <v>13</v>
      </c>
      <c r="L2" s="27"/>
      <c r="M2" s="27" t="s">
        <v>13</v>
      </c>
      <c r="N2" s="27" t="str">
        <f>CONCATENATE(I2, "_", B2, "_",J2, " ",M2, "_", 'general info'!$C$7, ".xls" )</f>
        <v>CHBE05_Test_1 _W banish_e0237.xls</v>
      </c>
      <c r="O2" s="27">
        <v>0</v>
      </c>
      <c r="P2" s="27" t="s">
        <v>68</v>
      </c>
      <c r="Q2" s="12"/>
    </row>
    <row r="3" spans="1:44" s="12" customFormat="1" ht="20.25" customHeight="1" thickBot="1" x14ac:dyDescent="0.35">
      <c r="A3" s="30">
        <v>0</v>
      </c>
      <c r="B3" s="30" t="s">
        <v>40</v>
      </c>
      <c r="C3" s="30" t="str">
        <f>'general info'!C6</f>
        <v>ELSC03</v>
      </c>
      <c r="D3" s="30" t="s">
        <v>62</v>
      </c>
      <c r="E3" s="30" t="s">
        <v>13</v>
      </c>
      <c r="F3" s="30" t="s">
        <v>74</v>
      </c>
      <c r="G3" s="30" t="s">
        <v>13</v>
      </c>
      <c r="H3" s="30" t="str">
        <f>CONCATENATE(C3, "_", B3, "_",D3, " ", G3, "_", 'general info'!$C$7, ".xls" )</f>
        <v>ELSC03_Test_2_W banish_e0237.xls</v>
      </c>
      <c r="I3" s="30" t="str">
        <f>'general info'!C10</f>
        <v>CHBE05</v>
      </c>
      <c r="J3" s="30" t="str">
        <f t="shared" ref="J3:J21" si="0">IF(D3="M","W",IF(D3="W","M",""))</f>
        <v>M</v>
      </c>
      <c r="K3" s="30" t="s">
        <v>19</v>
      </c>
      <c r="L3" s="30"/>
      <c r="M3" s="30" t="s">
        <v>19</v>
      </c>
      <c r="N3" s="30" t="str">
        <f>CONCATENATE(I3, "_", B3, "_",J3, " ", M3, "_", 'general info'!$C$7, ".xls" )</f>
        <v>CHBE05_Test_2_M caress_e0237.xls</v>
      </c>
      <c r="O3" s="30">
        <v>0</v>
      </c>
      <c r="P3" s="30" t="s">
        <v>68</v>
      </c>
    </row>
    <row r="4" spans="1:44" s="10" customFormat="1" ht="20.25" customHeight="1" x14ac:dyDescent="0.3">
      <c r="A4" s="13">
        <v>1</v>
      </c>
      <c r="B4" s="14" t="s">
        <v>41</v>
      </c>
      <c r="C4" s="14" t="str">
        <f>'general info'!C6</f>
        <v>ELSC03</v>
      </c>
      <c r="D4" s="14" t="s">
        <v>61</v>
      </c>
      <c r="E4" s="14" t="s">
        <v>31</v>
      </c>
      <c r="F4" s="14" t="s">
        <v>74</v>
      </c>
      <c r="G4" s="14" t="str" cm="1">
        <f t="array" ref="G4">_xlfn.XLOOKUP('general info'!C$37,'general info'!$A$18:'general info'!$A$35,'general info'!$B$18:'general info'!$B$35)</f>
        <v>threaten</v>
      </c>
      <c r="H4" s="14" t="str">
        <f>CONCATENATE(C4, "_", B4, "_",D4, " ", G4, "_", 'general info'!$C$7, ".xls" )</f>
        <v>ELSC03_Trial_1_M threaten_e0237.xls</v>
      </c>
      <c r="I4" s="14" t="str">
        <f>'general info'!C10</f>
        <v>CHBE05</v>
      </c>
      <c r="J4" s="14" t="str">
        <f t="shared" si="0"/>
        <v>W</v>
      </c>
      <c r="K4" s="14" t="s">
        <v>21</v>
      </c>
      <c r="L4" s="14" t="s">
        <v>73</v>
      </c>
      <c r="M4" s="14" t="str" cm="1">
        <f t="array" ref="M4">_xlfn.XLOOKUP('general info'!B$37,'general info'!$A$18:'general info'!$A$35,'general info'!$D$18:'general info'!$D$35)</f>
        <v>cherish</v>
      </c>
      <c r="N4" s="14" t="str">
        <f>CONCATENATE(I4, "_", B4, "_",J4, " ", M4, "_", 'general info'!$C$7, ".xls" )</f>
        <v>CHBE05_Trial_1_W cherish_e0237.xls</v>
      </c>
      <c r="O4" s="14">
        <v>1</v>
      </c>
      <c r="P4" s="15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</row>
    <row r="5" spans="1:44" ht="20.25" customHeight="1" x14ac:dyDescent="0.3">
      <c r="A5" s="16">
        <v>1</v>
      </c>
      <c r="B5" s="3" t="s">
        <v>42</v>
      </c>
      <c r="C5" s="3" t="str">
        <f>'general info'!C6</f>
        <v>ELSC03</v>
      </c>
      <c r="D5" s="3" t="s">
        <v>61</v>
      </c>
      <c r="E5" s="3" t="s">
        <v>15</v>
      </c>
      <c r="F5" s="3" t="s">
        <v>74</v>
      </c>
      <c r="G5" s="3" t="str" cm="1">
        <f t="array" ref="G5">_xlfn.XLOOKUP('general info'!B$37,'general info'!$A$18:'general info'!$A$35,'general info'!$B$18:'general info'!$B$35)</f>
        <v>block</v>
      </c>
      <c r="H5" s="3" t="str">
        <f>CONCATENATE(C5, "_", B5, "_",D5, " ", G5, "_", 'general info'!$C$7, ".xls" )</f>
        <v>ELSC03_Trial_2_M block_e0237.xls</v>
      </c>
      <c r="I5" s="3" t="str">
        <f>'general info'!C10</f>
        <v>CHBE05</v>
      </c>
      <c r="J5" s="9" t="str">
        <f t="shared" si="0"/>
        <v>W</v>
      </c>
      <c r="K5" s="9" t="s">
        <v>17</v>
      </c>
      <c r="L5" s="9" t="s">
        <v>74</v>
      </c>
      <c r="M5" s="3" t="str" cm="1">
        <f t="array" ref="M5">_xlfn.XLOOKUP('general info'!C$37,'general info'!$A$18:'general info'!$A$35,'general info'!$D$18:'general info'!$D$35)</f>
        <v>displease</v>
      </c>
      <c r="N5" s="3" t="str">
        <f>CONCATENATE(I5, "_", B5, "_",J5, " ", M5, "_", 'general info'!$C$7, ".xls" )</f>
        <v>CHBE05_Trial_2_W displease_e0237.xls</v>
      </c>
      <c r="O5" s="3">
        <v>1</v>
      </c>
      <c r="P5" s="17"/>
    </row>
    <row r="6" spans="1:44" s="10" customFormat="1" ht="20.25" customHeight="1" x14ac:dyDescent="0.3">
      <c r="A6" s="18">
        <v>1</v>
      </c>
      <c r="B6" s="2" t="s">
        <v>43</v>
      </c>
      <c r="C6" s="2" t="str">
        <f>'general info'!C6</f>
        <v>ELSC03</v>
      </c>
      <c r="D6" s="2" t="s">
        <v>61</v>
      </c>
      <c r="E6" s="2" t="s">
        <v>33</v>
      </c>
      <c r="F6" s="2" t="s">
        <v>74</v>
      </c>
      <c r="G6" s="2" t="str" cm="1">
        <f t="array" ref="G6">_xlfn.XLOOKUP('general info'!D$37,'general info'!$A$18:'general info'!$A$35,'general info'!$B$18:'general info'!$B$35)</f>
        <v>frustrate</v>
      </c>
      <c r="H6" s="2" t="str">
        <f>CONCATENATE(C6, "_", B6, "_",D6, " ", G6, "_", 'general info'!$C$7, ".xls" )</f>
        <v>ELSC03_Trial_3_M frustrate_e0237.xls</v>
      </c>
      <c r="I6" s="2" t="str">
        <f>'general info'!C10</f>
        <v>CHBE05</v>
      </c>
      <c r="J6" s="2" t="str">
        <f t="shared" si="0"/>
        <v>W</v>
      </c>
      <c r="K6" s="2" t="s">
        <v>34</v>
      </c>
      <c r="L6" s="2" t="s">
        <v>74</v>
      </c>
      <c r="M6" s="2" t="str" cm="1">
        <f t="array" ref="M6">_xlfn.XLOOKUP('general info'!D$37,'general info'!$A$18:'general info'!$A$35,'general info'!$D$18:'general info'!$D$35)</f>
        <v>anger</v>
      </c>
      <c r="N6" s="2" t="str">
        <f>CONCATENATE(I6, "_", B6, "_",J6, " ", M6, "_", 'general info'!$C$7, ".xls" )</f>
        <v>CHBE05_Trial_3_W anger_e0237.xls</v>
      </c>
      <c r="O6" s="2">
        <v>1</v>
      </c>
      <c r="P6" s="19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</row>
    <row r="7" spans="1:44" ht="20.25" customHeight="1" x14ac:dyDescent="0.3">
      <c r="A7" s="16">
        <v>1</v>
      </c>
      <c r="B7" s="3" t="s">
        <v>44</v>
      </c>
      <c r="C7" s="3" t="str">
        <f>'general info'!C6</f>
        <v>ELSC03</v>
      </c>
      <c r="D7" s="3" t="s">
        <v>61</v>
      </c>
      <c r="E7" s="3" t="s">
        <v>14</v>
      </c>
      <c r="F7" s="3" t="s">
        <v>74</v>
      </c>
      <c r="G7" s="3" t="str" cm="1">
        <f t="array" ref="G7">_xlfn.XLOOKUP('general info'!E$37,'general info'!$A$18:'general info'!$A$35,'general info'!$B$18:'general info'!$B$35)</f>
        <v>attack</v>
      </c>
      <c r="H7" s="3" t="str">
        <f>CONCATENATE(C7, "_", B7, "_",D7, " ", G7, "_", 'general info'!$C$7, ".xls" )</f>
        <v>ELSC03_Trial_4_M attack_e0237.xls</v>
      </c>
      <c r="I7" s="3" t="str">
        <f>'general info'!C10</f>
        <v>CHBE05</v>
      </c>
      <c r="J7" s="9" t="str">
        <f t="shared" si="0"/>
        <v>W</v>
      </c>
      <c r="K7" s="9" t="s">
        <v>20</v>
      </c>
      <c r="L7" s="9" t="s">
        <v>73</v>
      </c>
      <c r="M7" s="3" t="str" cm="1">
        <f t="array" ref="M7">_xlfn.XLOOKUP('general info'!E$37,'general info'!$A$18:'general info'!$A$35,'general info'!$D$18:'general info'!$D$35)</f>
        <v>befriend</v>
      </c>
      <c r="N7" s="3" t="str">
        <f>CONCATENATE(I7, "_", B7, "_",J7, " ", M7, "_", 'general info'!$C$7, ".xls" )</f>
        <v>CHBE05_Trial_4_W befriend_e0237.xls</v>
      </c>
      <c r="O7" s="3">
        <v>1</v>
      </c>
      <c r="P7" s="17"/>
    </row>
    <row r="8" spans="1:44" s="10" customFormat="1" ht="20.25" customHeight="1" x14ac:dyDescent="0.3">
      <c r="A8" s="18">
        <v>1</v>
      </c>
      <c r="B8" s="2" t="s">
        <v>45</v>
      </c>
      <c r="C8" s="2" t="str">
        <f>'general info'!C6</f>
        <v>ELSC03</v>
      </c>
      <c r="D8" s="2" t="s">
        <v>61</v>
      </c>
      <c r="E8" s="2" t="s">
        <v>32</v>
      </c>
      <c r="F8" s="2" t="s">
        <v>74</v>
      </c>
      <c r="G8" s="2" t="str" cm="1">
        <f t="array" ref="G8">_xlfn.XLOOKUP('general info'!F$37,'general info'!$A$18:'general info'!$A$35,'general info'!$B$18:'general info'!$B$35)</f>
        <v>shame</v>
      </c>
      <c r="H8" s="2" t="str">
        <f>CONCATENATE(C8, "_", B8, "_",D8, " ", G8, "_", 'general info'!$C$7, ".xls" )</f>
        <v>ELSC03_Trial_5_M shame_e0237.xls</v>
      </c>
      <c r="I8" s="2" t="str">
        <f>'general info'!C10</f>
        <v>CHBE05</v>
      </c>
      <c r="J8" s="2" t="str">
        <f t="shared" si="0"/>
        <v>W</v>
      </c>
      <c r="K8" s="2" t="s">
        <v>18</v>
      </c>
      <c r="L8" s="2" t="s">
        <v>74</v>
      </c>
      <c r="M8" s="2" t="str" cm="1">
        <f t="array" ref="M8">_xlfn.XLOOKUP('general info'!F$37,'general info'!$A$18:'general info'!$A$35,'general info'!$D$18:'general info'!$D$35)</f>
        <v>reject</v>
      </c>
      <c r="N8" s="2" t="str">
        <f>CONCATENATE(I8, "_", B8, "_",J8, " ", M8, "_", 'general info'!$C$7, ".xls" )</f>
        <v>CHBE05_Trial_5_W reject_e0237.xls</v>
      </c>
      <c r="O8" s="2">
        <v>1</v>
      </c>
      <c r="P8" s="19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</row>
    <row r="9" spans="1:44" ht="20.25" customHeight="1" x14ac:dyDescent="0.3">
      <c r="A9" s="16">
        <v>1</v>
      </c>
      <c r="B9" s="3" t="s">
        <v>46</v>
      </c>
      <c r="C9" s="3" t="str">
        <f>'general info'!C6</f>
        <v>ELSC03</v>
      </c>
      <c r="D9" s="3" t="s">
        <v>61</v>
      </c>
      <c r="E9" s="3" t="s">
        <v>27</v>
      </c>
      <c r="F9" s="3" t="s">
        <v>73</v>
      </c>
      <c r="G9" s="3" t="str" cm="1">
        <f t="array" ref="G9">_xlfn.XLOOKUP('general info'!G$37,'general info'!$A$18:'general info'!$A$35,'general info'!$B$18:'general info'!$B$35)</f>
        <v>accept</v>
      </c>
      <c r="H9" s="3" t="str">
        <f>CONCATENATE(C9, "_", B9, "_",D9, " ", G9, "_", 'general info'!$C$7, ".xls" )</f>
        <v>ELSC03_Trial_6_M accept_e0237.xls</v>
      </c>
      <c r="I9" s="3" t="str">
        <f>'general info'!C10</f>
        <v>CHBE05</v>
      </c>
      <c r="J9" s="9" t="str">
        <f t="shared" si="0"/>
        <v>W</v>
      </c>
      <c r="K9" s="9" t="s">
        <v>23</v>
      </c>
      <c r="L9" s="9" t="s">
        <v>73</v>
      </c>
      <c r="M9" s="3" t="str" cm="1">
        <f t="array" ref="M9">_xlfn.XLOOKUP('general info'!G$37,'general info'!$A$18:'general info'!$A$35,'general info'!$D$18:'general info'!$D$35)</f>
        <v>support</v>
      </c>
      <c r="N9" s="3" t="str">
        <f>CONCATENATE(I9, "_", B9, "_",J9, " ", M9, "_", 'general info'!$C$7, ".xls" )</f>
        <v>CHBE05_Trial_6_W support_e0237.xls</v>
      </c>
      <c r="O9" s="3">
        <v>1</v>
      </c>
      <c r="P9" s="17"/>
    </row>
    <row r="10" spans="1:44" s="10" customFormat="1" ht="20.25" customHeight="1" x14ac:dyDescent="0.3">
      <c r="A10" s="18">
        <v>1</v>
      </c>
      <c r="B10" s="2" t="s">
        <v>47</v>
      </c>
      <c r="C10" s="2" t="str">
        <f>'general info'!C6</f>
        <v>ELSC03</v>
      </c>
      <c r="D10" s="2" t="s">
        <v>61</v>
      </c>
      <c r="E10" s="2" t="s">
        <v>24</v>
      </c>
      <c r="F10" s="2" t="s">
        <v>73</v>
      </c>
      <c r="G10" s="2" t="str" cm="1">
        <f t="array" ref="G10">_xlfn.XLOOKUP('general info'!H$37,'general info'!$A$18:'general info'!$A$35,'general info'!$B$18:'general info'!$B$35)</f>
        <v>welcome</v>
      </c>
      <c r="H10" s="2" t="str">
        <f>CONCATENATE(C10, "_", B10, "_",D10, " ", G10, "_", 'general info'!$C$7, ".xls" )</f>
        <v>ELSC03_Trial_7_M welcome_e0237.xls</v>
      </c>
      <c r="I10" s="2" t="str">
        <f>'general info'!C10</f>
        <v>CHBE05</v>
      </c>
      <c r="J10" s="2" t="str">
        <f t="shared" si="0"/>
        <v>W</v>
      </c>
      <c r="K10" s="2" t="s">
        <v>28</v>
      </c>
      <c r="L10" s="2" t="s">
        <v>73</v>
      </c>
      <c r="M10" s="2" t="str" cm="1">
        <f t="array" ref="M10">_xlfn.XLOOKUP('general info'!H$37,'general info'!$A$18:'general info'!$A$35,'general info'!$D$18:'general info'!$D$35)</f>
        <v>comfort</v>
      </c>
      <c r="N10" s="2" t="str">
        <f>CONCATENATE(I10, "_", B10, "_",J10, " ", M10, "_", 'general info'!$C$7, ".xls" )</f>
        <v>CHBE05_Trial_7_W comfort_e0237.xls</v>
      </c>
      <c r="O10" s="2">
        <v>1</v>
      </c>
      <c r="P10" s="19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</row>
    <row r="11" spans="1:44" ht="20.25" customHeight="1" x14ac:dyDescent="0.3">
      <c r="A11" s="16">
        <v>1</v>
      </c>
      <c r="B11" s="3" t="s">
        <v>48</v>
      </c>
      <c r="C11" s="3" t="str">
        <f>'general info'!C6</f>
        <v>ELSC03</v>
      </c>
      <c r="D11" s="3" t="s">
        <v>61</v>
      </c>
      <c r="E11" s="3" t="s">
        <v>30</v>
      </c>
      <c r="F11" s="3" t="s">
        <v>73</v>
      </c>
      <c r="G11" s="3" t="str" cm="1">
        <f t="array" ref="G11">_xlfn.XLOOKUP('general info'!I$37,'general info'!$A$18:'general info'!$A$35,'general info'!$B$18:'general info'!$B$35)</f>
        <v>reassure</v>
      </c>
      <c r="H11" s="3" t="str">
        <f>CONCATENATE(C11, "_", B11, "_",D11, " ", G11, "_", 'general info'!$C$7, ".xls" )</f>
        <v>ELSC03_Trial_8_M reassure_e0237.xls</v>
      </c>
      <c r="I11" s="3" t="str">
        <f>'general info'!C10</f>
        <v>CHBE05</v>
      </c>
      <c r="J11" s="9" t="str">
        <f t="shared" si="0"/>
        <v>W</v>
      </c>
      <c r="K11" s="9" t="s">
        <v>29</v>
      </c>
      <c r="L11" s="9" t="s">
        <v>73</v>
      </c>
      <c r="M11" s="3" t="str" cm="1">
        <f t="array" ref="M11">_xlfn.XLOOKUP('general info'!I$37,'general info'!$A$18:'general info'!$A$35,'general info'!$D$18:'general info'!$D$35)</f>
        <v>motivate</v>
      </c>
      <c r="N11" s="3" t="str">
        <f>CONCATENATE(I11, "_", B11, "_",J11, " ", M11, "_", 'general info'!$C$7, ".xls" )</f>
        <v>CHBE05_Trial_8_W motivate_e0237.xls</v>
      </c>
      <c r="O11" s="3">
        <v>1</v>
      </c>
      <c r="P11" s="17"/>
    </row>
    <row r="12" spans="1:44" s="10" customFormat="1" ht="20.25" customHeight="1" thickBot="1" x14ac:dyDescent="0.35">
      <c r="A12" s="20">
        <v>0</v>
      </c>
      <c r="B12" s="21" t="s">
        <v>49</v>
      </c>
      <c r="C12" s="21" t="str">
        <f>'general info'!C6</f>
        <v>ELSC03</v>
      </c>
      <c r="D12" s="21" t="s">
        <v>61</v>
      </c>
      <c r="E12" s="21" t="s">
        <v>72</v>
      </c>
      <c r="F12" s="21" t="s">
        <v>74</v>
      </c>
      <c r="G12" s="21" t="str" cm="1">
        <f t="array" ref="G12">_xlfn.XLOOKUP('general info'!J$37,'general info'!$A$18:'general info'!$A$35,'general info'!$B$18:'general info'!$B$35)</f>
        <v xml:space="preserve">confront </v>
      </c>
      <c r="H12" s="21" t="str">
        <f>CONCATENATE(C12, "_", B12, "_",D12, " ", G12, "_", 'general info'!$C$7, ".xls" )</f>
        <v>ELSC03_Trial_9_M confront _e0237.xls</v>
      </c>
      <c r="I12" s="21" t="str">
        <f>'general info'!C10</f>
        <v>CHBE05</v>
      </c>
      <c r="J12" s="21" t="str">
        <f t="shared" si="0"/>
        <v>W</v>
      </c>
      <c r="K12" s="21" t="s">
        <v>22</v>
      </c>
      <c r="L12" s="21" t="s">
        <v>73</v>
      </c>
      <c r="M12" s="21" t="str" cm="1">
        <f t="array" ref="M12">_xlfn.XLOOKUP('general info'!J$37,'general info'!$A$18:'general info'!$A$35,'general info'!$D$18:'general info'!$D$35)</f>
        <v>ease</v>
      </c>
      <c r="N12" s="21" t="str">
        <f>CONCATENATE(I12, "_", B12, "_",J12, " ", M12, "_", 'general info'!$C$7, ".xls" )</f>
        <v>CHBE05_Trial_9_W ease_e0237.xls</v>
      </c>
      <c r="O12" s="21">
        <v>1</v>
      </c>
      <c r="P12" s="22" t="s">
        <v>69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</row>
    <row r="13" spans="1:44" s="12" customFormat="1" ht="20.25" customHeight="1" x14ac:dyDescent="0.3">
      <c r="A13" s="26">
        <v>1</v>
      </c>
      <c r="B13" s="26" t="s">
        <v>50</v>
      </c>
      <c r="C13" s="26" t="str">
        <f>'general info'!C6</f>
        <v>ELSC03</v>
      </c>
      <c r="D13" s="26" t="s">
        <v>62</v>
      </c>
      <c r="E13" s="26" t="s">
        <v>21</v>
      </c>
      <c r="F13" s="26" t="s">
        <v>73</v>
      </c>
      <c r="G13" s="26" t="str">
        <f>M4</f>
        <v>cherish</v>
      </c>
      <c r="H13" s="26" t="str">
        <f>CONCATENATE(C13, "_", B13, "_",D13, " ", G13, "_", 'general info'!$C$7, ".xls" )</f>
        <v>ELSC03_Trial_10_W cherish_e0237.xls</v>
      </c>
      <c r="I13" s="26" t="str">
        <f>'general info'!C10</f>
        <v>CHBE05</v>
      </c>
      <c r="J13" s="26" t="str">
        <f t="shared" si="0"/>
        <v>M</v>
      </c>
      <c r="K13" s="26" t="s">
        <v>31</v>
      </c>
      <c r="L13" s="26" t="s">
        <v>74</v>
      </c>
      <c r="M13" s="26" t="str">
        <f>G4</f>
        <v>threaten</v>
      </c>
      <c r="N13" s="26" t="str">
        <f>CONCATENATE(I13, "_", B13, "_",J13, " ", M13, "_", 'general info'!$C$7, ".xls" )</f>
        <v>CHBE05_Trial_10_M threaten_e0237.xls</v>
      </c>
      <c r="O13" s="26">
        <v>1</v>
      </c>
      <c r="P13" s="26"/>
    </row>
    <row r="14" spans="1:44" s="28" customFormat="1" ht="20.25" customHeight="1" x14ac:dyDescent="0.3">
      <c r="A14" s="29">
        <v>1</v>
      </c>
      <c r="B14" s="29" t="s">
        <v>51</v>
      </c>
      <c r="C14" s="29" t="str">
        <f>'general info'!C6</f>
        <v>ELSC03</v>
      </c>
      <c r="D14" s="29" t="s">
        <v>62</v>
      </c>
      <c r="E14" s="29" t="s">
        <v>17</v>
      </c>
      <c r="F14" s="29" t="s">
        <v>74</v>
      </c>
      <c r="G14" s="29" t="str">
        <f>M5</f>
        <v>displease</v>
      </c>
      <c r="H14" s="29" t="str">
        <f>CONCATENATE(C14, "_", B14, "_",D14, " ", G14, "_", 'general info'!$C$7, ".xls" )</f>
        <v>ELSC03_Trial_11_W displease_e0237.xls</v>
      </c>
      <c r="I14" s="29" t="str">
        <f>'general info'!C10</f>
        <v>CHBE05</v>
      </c>
      <c r="J14" s="29" t="str">
        <f t="shared" si="0"/>
        <v>M</v>
      </c>
      <c r="K14" s="29" t="s">
        <v>15</v>
      </c>
      <c r="L14" s="29" t="s">
        <v>74</v>
      </c>
      <c r="M14" s="29" t="str">
        <f>G5</f>
        <v>block</v>
      </c>
      <c r="N14" s="29" t="str">
        <f>CONCATENATE(I14, "_", B14, "_",J14, " ", M14, "_", 'general info'!$C$7, ".xls" )</f>
        <v>CHBE05_Trial_11_M block_e0237.xls</v>
      </c>
      <c r="O14" s="29">
        <v>1</v>
      </c>
      <c r="P14" s="29"/>
      <c r="Q14" s="12"/>
    </row>
    <row r="15" spans="1:44" s="12" customFormat="1" ht="20.25" customHeight="1" x14ac:dyDescent="0.3">
      <c r="A15" s="9">
        <v>1</v>
      </c>
      <c r="B15" s="9" t="s">
        <v>52</v>
      </c>
      <c r="C15" s="9" t="str">
        <f>'general info'!C6</f>
        <v>ELSC03</v>
      </c>
      <c r="D15" s="9" t="s">
        <v>62</v>
      </c>
      <c r="E15" s="9" t="s">
        <v>34</v>
      </c>
      <c r="F15" s="9" t="s">
        <v>74</v>
      </c>
      <c r="G15" s="9" t="str">
        <f t="shared" ref="G15:G21" si="1">M6</f>
        <v>anger</v>
      </c>
      <c r="H15" s="9" t="str">
        <f>CONCATENATE(C15, "_", B15, "_",D15, " ", G15, "_", 'general info'!$C$7, ".xls" )</f>
        <v>ELSC03_Trial_12_W anger_e0237.xls</v>
      </c>
      <c r="I15" s="9" t="str">
        <f>'general info'!C10</f>
        <v>CHBE05</v>
      </c>
      <c r="J15" s="9" t="str">
        <f t="shared" si="0"/>
        <v>M</v>
      </c>
      <c r="K15" s="9" t="s">
        <v>33</v>
      </c>
      <c r="L15" s="9" t="s">
        <v>74</v>
      </c>
      <c r="M15" s="9" t="str">
        <f t="shared" ref="M15:M21" si="2">G6</f>
        <v>frustrate</v>
      </c>
      <c r="N15" s="9" t="str">
        <f>CONCATENATE(I15, "_", B15, "_",J15, " ", M15, "_", 'general info'!$C$7, ".xls" )</f>
        <v>CHBE05_Trial_12_M frustrate_e0237.xls</v>
      </c>
      <c r="O15" s="9">
        <v>1</v>
      </c>
      <c r="P15" s="9"/>
    </row>
    <row r="16" spans="1:44" s="28" customFormat="1" ht="20.25" customHeight="1" x14ac:dyDescent="0.3">
      <c r="A16" s="29">
        <v>1</v>
      </c>
      <c r="B16" s="29" t="s">
        <v>53</v>
      </c>
      <c r="C16" s="29">
        <f>'general info'!C8</f>
        <v>0</v>
      </c>
      <c r="D16" s="29" t="s">
        <v>62</v>
      </c>
      <c r="E16" s="29" t="s">
        <v>20</v>
      </c>
      <c r="F16" s="29" t="s">
        <v>73</v>
      </c>
      <c r="G16" s="29" t="str">
        <f t="shared" si="1"/>
        <v>befriend</v>
      </c>
      <c r="H16" s="29" t="str">
        <f>CONCATENATE(C16, "_", B16, "_",D16, " ", G16, "_", 'general info'!$C$7, ".xls" )</f>
        <v>0_Trial_13_W befriend_e0237.xls</v>
      </c>
      <c r="I16" s="29">
        <f>'general info'!C12</f>
        <v>0</v>
      </c>
      <c r="J16" s="29" t="str">
        <f t="shared" si="0"/>
        <v>M</v>
      </c>
      <c r="K16" s="29" t="s">
        <v>14</v>
      </c>
      <c r="L16" s="29" t="s">
        <v>74</v>
      </c>
      <c r="M16" s="29" t="str">
        <f t="shared" si="2"/>
        <v>attack</v>
      </c>
      <c r="N16" s="29" t="str">
        <f>CONCATENATE(I16, "_", B16, "_",J16, " ", M16, "_", 'general info'!$C$7, ".xls" )</f>
        <v>0_Trial_13_M attack_e0237.xls</v>
      </c>
      <c r="O16" s="29">
        <v>1</v>
      </c>
      <c r="P16" s="29"/>
      <c r="Q16" s="12"/>
    </row>
    <row r="17" spans="1:17" s="12" customFormat="1" ht="20.25" customHeight="1" x14ac:dyDescent="0.3">
      <c r="A17" s="9">
        <v>1</v>
      </c>
      <c r="B17" s="9" t="s">
        <v>54</v>
      </c>
      <c r="C17" s="9">
        <f>'general info'!C8</f>
        <v>0</v>
      </c>
      <c r="D17" s="9" t="s">
        <v>62</v>
      </c>
      <c r="E17" s="9" t="s">
        <v>18</v>
      </c>
      <c r="F17" s="9" t="s">
        <v>74</v>
      </c>
      <c r="G17" s="9" t="str">
        <f t="shared" si="1"/>
        <v>reject</v>
      </c>
      <c r="H17" s="9" t="str">
        <f>CONCATENATE(C17, "_", B17, "_",D17, " ", G17, "_", 'general info'!$C$7, ".xls" )</f>
        <v>0_Trial_14_W reject_e0237.xls</v>
      </c>
      <c r="I17" s="9">
        <f>'general info'!C12</f>
        <v>0</v>
      </c>
      <c r="J17" s="9" t="str">
        <f t="shared" si="0"/>
        <v>M</v>
      </c>
      <c r="K17" s="9" t="s">
        <v>32</v>
      </c>
      <c r="L17" s="9" t="s">
        <v>74</v>
      </c>
      <c r="M17" s="9" t="str">
        <f t="shared" si="2"/>
        <v>shame</v>
      </c>
      <c r="N17" s="9" t="str">
        <f>CONCATENATE(I17, "_", B17, "_",J17, " ", M17, "_", 'general info'!$C$7, ".xls" )</f>
        <v>0_Trial_14_M shame_e0237.xls</v>
      </c>
      <c r="O17" s="9">
        <v>1</v>
      </c>
      <c r="P17" s="9"/>
    </row>
    <row r="18" spans="1:17" s="28" customFormat="1" ht="20.25" customHeight="1" x14ac:dyDescent="0.3">
      <c r="A18" s="29">
        <v>1</v>
      </c>
      <c r="B18" s="29" t="s">
        <v>55</v>
      </c>
      <c r="C18" s="29" t="str">
        <f>'general info'!C10</f>
        <v>CHBE05</v>
      </c>
      <c r="D18" s="29" t="s">
        <v>62</v>
      </c>
      <c r="E18" s="29" t="s">
        <v>23</v>
      </c>
      <c r="F18" s="29" t="s">
        <v>73</v>
      </c>
      <c r="G18" s="29" t="str">
        <f t="shared" si="1"/>
        <v>support</v>
      </c>
      <c r="H18" s="29" t="str">
        <f>CONCATENATE(C18, "_", B18, "_",D18, " ", G18, "_", 'general info'!$C$7, ".xls" )</f>
        <v>CHBE05_Trial_15_W support_e0237.xls</v>
      </c>
      <c r="I18" s="29">
        <f>'general info'!C14</f>
        <v>0</v>
      </c>
      <c r="J18" s="29" t="str">
        <f t="shared" si="0"/>
        <v>M</v>
      </c>
      <c r="K18" s="29" t="s">
        <v>27</v>
      </c>
      <c r="L18" s="29" t="s">
        <v>73</v>
      </c>
      <c r="M18" s="29" t="str">
        <f t="shared" si="2"/>
        <v>accept</v>
      </c>
      <c r="N18" s="29" t="str">
        <f>CONCATENATE(I18, "_", B18, "_",J18, " ", M18, "_", 'general info'!$C$7, ".xls" )</f>
        <v>0_Trial_15_M accept_e0237.xls</v>
      </c>
      <c r="O18" s="29">
        <v>1</v>
      </c>
      <c r="P18" s="29"/>
      <c r="Q18" s="12"/>
    </row>
    <row r="19" spans="1:17" s="12" customFormat="1" ht="20.25" customHeight="1" x14ac:dyDescent="0.3">
      <c r="A19" s="9">
        <v>1</v>
      </c>
      <c r="B19" s="9" t="s">
        <v>56</v>
      </c>
      <c r="C19" s="9" t="str">
        <f>'general info'!C10</f>
        <v>CHBE05</v>
      </c>
      <c r="D19" s="9" t="s">
        <v>62</v>
      </c>
      <c r="E19" s="9" t="s">
        <v>28</v>
      </c>
      <c r="F19" s="9" t="s">
        <v>73</v>
      </c>
      <c r="G19" s="9" t="str">
        <f t="shared" si="1"/>
        <v>comfort</v>
      </c>
      <c r="H19" s="9" t="str">
        <f>CONCATENATE(C19, "_", B19, "_",D19, " ", G19, "_", 'general info'!$C$7, ".xls" )</f>
        <v>CHBE05_Trial_16_W comfort_e0237.xls</v>
      </c>
      <c r="I19" s="9">
        <f>'general info'!C14</f>
        <v>0</v>
      </c>
      <c r="J19" s="9" t="str">
        <f t="shared" si="0"/>
        <v>M</v>
      </c>
      <c r="K19" s="9" t="s">
        <v>24</v>
      </c>
      <c r="L19" s="9" t="s">
        <v>73</v>
      </c>
      <c r="M19" s="9" t="str">
        <f t="shared" si="2"/>
        <v>welcome</v>
      </c>
      <c r="N19" s="9" t="str">
        <f>CONCATENATE(I19, "_", B19, "_",J19, " ", M19, "_", 'general info'!$C$7, ".xls" )</f>
        <v>0_Trial_16_M welcome_e0237.xls</v>
      </c>
      <c r="O19" s="9">
        <v>1</v>
      </c>
      <c r="P19" s="9"/>
    </row>
    <row r="20" spans="1:17" s="28" customFormat="1" ht="20.25" customHeight="1" x14ac:dyDescent="0.3">
      <c r="A20" s="29">
        <v>1</v>
      </c>
      <c r="B20" s="29" t="s">
        <v>57</v>
      </c>
      <c r="C20" s="29">
        <f>'general info'!C12</f>
        <v>0</v>
      </c>
      <c r="D20" s="29" t="s">
        <v>62</v>
      </c>
      <c r="E20" s="29" t="s">
        <v>29</v>
      </c>
      <c r="F20" s="29" t="s">
        <v>73</v>
      </c>
      <c r="G20" s="29" t="str">
        <f t="shared" si="1"/>
        <v>motivate</v>
      </c>
      <c r="H20" s="29" t="str">
        <f>CONCATENATE(C20, "_", B20, "_",D20, " ", G20, "_", 'general info'!$C$7, ".xls" )</f>
        <v>0_Trial_17_W motivate_e0237.xls</v>
      </c>
      <c r="I20" s="29">
        <f>'general info'!C16</f>
        <v>0</v>
      </c>
      <c r="J20" s="29" t="str">
        <f t="shared" si="0"/>
        <v>M</v>
      </c>
      <c r="K20" s="29" t="s">
        <v>30</v>
      </c>
      <c r="L20" s="29" t="s">
        <v>73</v>
      </c>
      <c r="M20" s="29" t="str">
        <f t="shared" si="2"/>
        <v>reassure</v>
      </c>
      <c r="N20" s="29" t="str">
        <f>CONCATENATE(I20, "_", B20, "_",J20, " ", M20, "_", 'general info'!$C$7, ".xls" )</f>
        <v>0_Trial_17_M reassure_e0237.xls</v>
      </c>
      <c r="O20" s="29">
        <v>1</v>
      </c>
      <c r="P20" s="29"/>
      <c r="Q20" s="12"/>
    </row>
    <row r="21" spans="1:17" s="12" customFormat="1" ht="20.25" customHeight="1" x14ac:dyDescent="0.3">
      <c r="A21" s="9">
        <v>1</v>
      </c>
      <c r="B21" s="9" t="s">
        <v>58</v>
      </c>
      <c r="C21" s="9">
        <f>'general info'!C12</f>
        <v>0</v>
      </c>
      <c r="D21" s="9" t="s">
        <v>62</v>
      </c>
      <c r="E21" s="9" t="s">
        <v>22</v>
      </c>
      <c r="F21" s="9" t="s">
        <v>73</v>
      </c>
      <c r="G21" s="9" t="str">
        <f t="shared" si="1"/>
        <v>ease</v>
      </c>
      <c r="H21" s="9" t="str">
        <f>CONCATENATE(C21, "_", B21, "_",D21, " ", G21, "_", 'general info'!$C$7, ".xls" )</f>
        <v>0_Trial_18_W ease_e0237.xls</v>
      </c>
      <c r="I21" s="9">
        <f>'general info'!C16</f>
        <v>0</v>
      </c>
      <c r="J21" s="9" t="str">
        <f t="shared" si="0"/>
        <v>M</v>
      </c>
      <c r="K21" s="9" t="s">
        <v>72</v>
      </c>
      <c r="L21" s="9" t="s">
        <v>74</v>
      </c>
      <c r="M21" s="9" t="str">
        <f t="shared" si="2"/>
        <v xml:space="preserve">confront </v>
      </c>
      <c r="N21" s="9" t="str">
        <f>CONCATENATE(I21, "_", B21, "_",J21, " ", M21, "_", 'general info'!$C$7, ".xls" )</f>
        <v>0_Trial_18_M confront _e0237.xls</v>
      </c>
      <c r="O21" s="9">
        <v>1</v>
      </c>
      <c r="P21" s="9"/>
    </row>
  </sheetData>
  <phoneticPr fontId="2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general info</vt:lpstr>
      <vt:lpstr>recording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</dc:creator>
  <cp:lastModifiedBy>Sabrina</cp:lastModifiedBy>
  <dcterms:created xsi:type="dcterms:W3CDTF">2020-06-15T09:53:56Z</dcterms:created>
  <dcterms:modified xsi:type="dcterms:W3CDTF">2020-07-03T12:17:17Z</dcterms:modified>
</cp:coreProperties>
</file>